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layer &amp; Combat" sheetId="2" state="visible" r:id="rId4"/>
    <sheet name="Auto-Weapons" sheetId="3" state="visible" r:id="rId5"/>
    <sheet name="Enemies" sheetId="4" state="visible" r:id="rId6"/>
    <sheet name="Waves" sheetId="5" state="visible" r:id="rId7"/>
    <sheet name="Progress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<sst xmlns="http://schemas.openxmlformats.org/spreadsheetml/2006/main" count="151" uniqueCount="139">
  <si>
    <t xml:space="preserve">HORDEBREAKERS — Tuning Spreadsheet</t>
  </si>
  <si>
    <t xml:space="preserve">Companion to HORDEBREAKERS_GDD.md. Every number here is a hypothesis to be validated in playtest.</t>
  </si>
  <si>
    <t xml:space="preserve">COLOR LEGEND</t>
  </si>
  <si>
    <t xml:space="preserve">Blue text</t>
  </si>
  <si>
    <t xml:space="preserve">Designer input — change these to tune the game</t>
  </si>
  <si>
    <t xml:space="preserve">Black text</t>
  </si>
  <si>
    <t xml:space="preserve">Formula / derived value — don't edit directly</t>
  </si>
  <si>
    <t xml:space="preserve">Green text</t>
  </si>
  <si>
    <t xml:space="preserve">Pulls a value from another sheet</t>
  </si>
  <si>
    <t xml:space="preserve">Yellow cell</t>
  </si>
  <si>
    <t xml:space="preserve">[PLACEHOLDER] — untested; validate in playtest before trusting</t>
  </si>
  <si>
    <t xml:space="preserve">TABS</t>
  </si>
  <si>
    <t xml:space="preserve">Player &amp; Combat</t>
  </si>
  <si>
    <t xml:space="preserve">Player survivability, moveset, and the mark/detonate loop</t>
  </si>
  <si>
    <t xml:space="preserve">Auto-Weapons</t>
  </si>
  <si>
    <t xml:space="preserve">Starter auto-weapon stats + approx DPS</t>
  </si>
  <si>
    <t xml:space="preserve">Enemies</t>
  </si>
  <si>
    <t xml:space="preserve">Base stats per enemy (feeds wave scaling)</t>
  </si>
  <si>
    <t xml:space="preserve">Waves</t>
  </si>
  <si>
    <t xml:space="preserve">Per-wave escalation curve (formula-driven from assumptions)</t>
  </si>
  <si>
    <t xml:space="preserve">Progression</t>
  </si>
  <si>
    <t xml:space="preserve">XP curve + meta economy</t>
  </si>
  <si>
    <t xml:space="preserve">PROCESS</t>
  </si>
  <si>
    <t xml:space="preserve">Per GDD §11: define what "broken" looks like BEFORE each playtest so you recognize it.</t>
  </si>
  <si>
    <t xml:space="preserve">Variable</t>
  </si>
  <si>
    <t xml:space="preserve">Base</t>
  </si>
  <si>
    <t xml:space="preserve">Min</t>
  </si>
  <si>
    <t xml:space="preserve">Max</t>
  </si>
  <si>
    <t xml:space="preserve">Notes / Rationale</t>
  </si>
  <si>
    <t xml:space="preserve">Player HP</t>
  </si>
  <si>
    <t xml:space="preserve">Baseline survivability; co-op scaling separate</t>
  </si>
  <si>
    <t xml:space="preserve">Move speed (u/s)</t>
  </si>
  <si>
    <t xml:space="preserve">Must feel responsive vs an encroaching swarm</t>
  </si>
  <si>
    <t xml:space="preserve">Dodge distance (u)</t>
  </si>
  <si>
    <t xml:space="preserve">Enough to clear an elite telegraph</t>
  </si>
  <si>
    <t xml:space="preserve">Dodge i-frames (s)</t>
  </si>
  <si>
    <t xml:space="preserve">Feel test — the skill ceiling of defense</t>
  </si>
  <si>
    <t xml:space="preserve">Dodge cooldown (s)</t>
  </si>
  <si>
    <t xml:space="preserve">Gates spam; risk/reward of repositioning</t>
  </si>
  <si>
    <t xml:space="preserve">Light attack dmg (per hit)</t>
  </si>
  <si>
    <t xml:space="preserve">—</t>
  </si>
  <si>
    <t xml:space="preserve">3-hit combo; chaff cleanup + gap filler</t>
  </si>
  <si>
    <t xml:space="preserve">Light combo hits</t>
  </si>
  <si>
    <t xml:space="preserve">Combo string length</t>
  </si>
  <si>
    <t xml:space="preserve">Heavy attack dmg</t>
  </si>
  <si>
    <t xml:space="preserve">The Detonator — solid raw dmg on its own too</t>
  </si>
  <si>
    <t xml:space="preserve">Heavy attack windup (s)</t>
  </si>
  <si>
    <t xml:space="preserve">Commitment cost of the detonate</t>
  </si>
  <si>
    <t xml:space="preserve">Mark duration (s)</t>
  </si>
  <si>
    <t xml:space="preserve">Decays if not refreshed by autos</t>
  </si>
  <si>
    <t xml:space="preserve">Mark max stacks</t>
  </si>
  <si>
    <t xml:space="preserve">Cap per enemy</t>
  </si>
  <si>
    <t xml:space="preserve">Detonation radius (u)</t>
  </si>
  <si>
    <t xml:space="preserve">AoE around heavy-attack impact</t>
  </si>
  <si>
    <t xml:space="preserve">Detonation dmg per stack</t>
  </si>
  <si>
    <t xml:space="preserve">CORE SCALING LEVER — burst = stacks consumed</t>
  </si>
  <si>
    <t xml:space="preserve">Max detonation dmg (full stacks)</t>
  </si>
  <si>
    <t xml:space="preserve">Derived: detonation dmg per stack × mark max stacks</t>
  </si>
  <si>
    <t xml:space="preserve">Downed revive time (s)</t>
  </si>
  <si>
    <t xml:space="preserve">Teammate stands nearby to revive</t>
  </si>
  <si>
    <t xml:space="preserve">Self-revive cooldown (s)</t>
  </si>
  <si>
    <t xml:space="preserve">Solo + clutch saves; off in co-op?  (open question)</t>
  </si>
  <si>
    <t xml:space="preserve">Weapon</t>
  </si>
  <si>
    <t xml:space="preserve">Base Dmg</t>
  </si>
  <si>
    <t xml:space="preserve">Fire Interval (s)</t>
  </si>
  <si>
    <t xml:space="preserve">Projectiles</t>
  </si>
  <si>
    <t xml:space="preserve">Range (u)</t>
  </si>
  <si>
    <t xml:space="preserve">Marks / Hit</t>
  </si>
  <si>
    <t xml:space="preserve">Approx DPS</t>
  </si>
  <si>
    <t xml:space="preserve">Targeting</t>
  </si>
  <si>
    <t xml:space="preserve">Notes</t>
  </si>
  <si>
    <t xml:space="preserve">Throwing Knives</t>
  </si>
  <si>
    <t xml:space="preserve">Nearest</t>
  </si>
  <si>
    <t xml:space="preserve">Reliable single-target marker</t>
  </si>
  <si>
    <t xml:space="preserve">Orbiting Axes</t>
  </si>
  <si>
    <t xml:space="preserve">Orbit</t>
  </si>
  <si>
    <t xml:space="preserve">Body-blocks + marks adjacent; evolves → Whirlwind</t>
  </si>
  <si>
    <t xml:space="preserve">Arc Lightning</t>
  </si>
  <si>
    <t xml:space="preserve">Random+chain</t>
  </si>
  <si>
    <t xml:space="preserve">Spreads marks across the crowd (Tempest favorite)</t>
  </si>
  <si>
    <t xml:space="preserve">Scattergun</t>
  </si>
  <si>
    <t xml:space="preserve">Forward arc</t>
  </si>
  <si>
    <t xml:space="preserve">Burst-marks clusters at close range</t>
  </si>
  <si>
    <t xml:space="preserve">Approx DPS = Base Dmg × Projectiles ÷ Fire Interval (ignores chain/cone overlap).</t>
  </si>
  <si>
    <t xml:space="preserve">Enemy</t>
  </si>
  <si>
    <t xml:space="preserve">Tier</t>
  </si>
  <si>
    <t xml:space="preserve">Base HP</t>
  </si>
  <si>
    <t xml:space="preserve">Contact Dmg</t>
  </si>
  <si>
    <t xml:space="preserve">Move Speed</t>
  </si>
  <si>
    <t xml:space="preserve">XP Value</t>
  </si>
  <si>
    <t xml:space="preserve">Spawn Weight</t>
  </si>
  <si>
    <t xml:space="preserve">Husk</t>
  </si>
  <si>
    <t xml:space="preserve">Swarm</t>
  </si>
  <si>
    <t xml:space="preserve">Baseline shambler — the auto-weapon fodder</t>
  </si>
  <si>
    <t xml:space="preserve">Runner</t>
  </si>
  <si>
    <t xml:space="preserve">Fast, fragile; pressure in numbers</t>
  </si>
  <si>
    <t xml:space="preserve">Spitter</t>
  </si>
  <si>
    <t xml:space="preserve">Lobbed projectile; punishes standing still</t>
  </si>
  <si>
    <t xml:space="preserve">Brute</t>
  </si>
  <si>
    <t xml:space="preserve">Elite</t>
  </si>
  <si>
    <t xml:space="preserve">Telegraphed ground slam (large decal)</t>
  </si>
  <si>
    <t xml:space="preserve">Charger</t>
  </si>
  <si>
    <t xml:space="preserve">Telegraphed dash across the arena</t>
  </si>
  <si>
    <t xml:space="preserve">Warden</t>
  </si>
  <si>
    <t xml:space="preserve">Front shield — flank or detonate to break</t>
  </si>
  <si>
    <t xml:space="preserve">The Gravemaker</t>
  </si>
  <si>
    <t xml:space="preserve">Boss</t>
  </si>
  <si>
    <t xml:space="preserve">Multi-phase; summons swarm adds + AoE patterns</t>
  </si>
  <si>
    <t xml:space="preserve">Spawn Weight = relative frequency within the swarm pool (elites/boss spawned by the Waves sheet, not weight).</t>
  </si>
  <si>
    <t xml:space="preserve">Wave Pacing &amp; Escalation</t>
  </si>
  <si>
    <t xml:space="preserve">Change the assumptions below; the table recomputes.</t>
  </si>
  <si>
    <t xml:space="preserve">Players (1-4)</t>
  </si>
  <si>
    <t xml:space="preserve">Base enemy count (wave 1)</t>
  </si>
  <si>
    <t xml:space="preserve">Enemy count growth / wave</t>
  </si>
  <si>
    <t xml:space="preserve">Base elite count (wave 1)</t>
  </si>
  <si>
    <t xml:space="preserve">Elites added / wave</t>
  </si>
  <si>
    <t xml:space="preserve">Enemy HP scale / wave (additive)</t>
  </si>
  <si>
    <t xml:space="preserve">Boss every N waves</t>
  </si>
  <si>
    <t xml:space="preserve">Co-op spawn mult / extra player</t>
  </si>
  <si>
    <t xml:space="preserve">Wave</t>
  </si>
  <si>
    <t xml:space="preserve">Enemy Count</t>
  </si>
  <si>
    <t xml:space="preserve">Elite Count</t>
  </si>
  <si>
    <t xml:space="preserve">Enemy HP Mult</t>
  </si>
  <si>
    <t xml:space="preserve">Husk HP (scaled)</t>
  </si>
  <si>
    <t xml:space="preserve">Brute HP (scaled)</t>
  </si>
  <si>
    <t xml:space="preserve">Boss?</t>
  </si>
  <si>
    <t xml:space="preserve">Progression — XP &amp; Economy</t>
  </si>
  <si>
    <t xml:space="preserve">Base XP (L1 → L2)</t>
  </si>
  <si>
    <t xml:space="preserve">XP growth / level</t>
  </si>
  <si>
    <t xml:space="preserve">Cards offered per level</t>
  </si>
  <si>
    <t xml:space="preserve">Gold / swarm kill</t>
  </si>
  <si>
    <t xml:space="preserve">Gold / elite kill</t>
  </si>
  <si>
    <t xml:space="preserve">Gold / boss kill</t>
  </si>
  <si>
    <t xml:space="preserve">Meta currency / boss first-kill</t>
  </si>
  <si>
    <t xml:space="preserve">Character unlock cost (meta)</t>
  </si>
  <si>
    <t xml:space="preserve">Weapon unlock cost (meta)</t>
  </si>
  <si>
    <t xml:space="preserve">Level</t>
  </si>
  <si>
    <t xml:space="preserve">XP to Next</t>
  </si>
  <si>
    <t xml:space="preserve">Cumulative XP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</si>
</sst>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2" t="s">
        <v>4</v>
      </c>
    </row>
    <row r="7" customFormat="false" ht="15" hidden="false" customHeight="false" outlineLevel="0" collapsed="false">
      <c r="A7" s="2" t="s">
        <v>5</v>
      </c>
      <c r="B7" s="2" t="s">
        <v>6</v>
      </c>
    </row>
    <row r="8" customFormat="false" ht="15" hidden="false" customHeight="false" outlineLevel="0" collapsed="false">
      <c r="A8" s="5" t="s">
        <v>7</v>
      </c>
      <c r="B8" s="2" t="s">
        <v>8</v>
      </c>
    </row>
    <row r="9" customFormat="false" ht="15" hidden="false" customHeight="false" outlineLevel="0" collapsed="false">
      <c r="A9" s="6" t="s">
        <v>9</v>
      </c>
      <c r="B9" s="2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 t="s">
        <v>14</v>
      </c>
      <c r="B13" s="2" t="s">
        <v>15</v>
      </c>
    </row>
    <row r="14" customFormat="false" ht="15" hidden="false" customHeight="false" outlineLevel="0" collapsed="false">
      <c r="A14" s="3" t="s">
        <v>16</v>
      </c>
      <c r="B14" s="2" t="s">
        <v>17</v>
      </c>
    </row>
    <row r="15" customFormat="false" ht="15" hidden="false" customHeight="false" outlineLevel="0" collapsed="false">
      <c r="A15" s="3" t="s">
        <v>18</v>
      </c>
      <c r="B15" s="2" t="s">
        <v>19</v>
      </c>
    </row>
    <row r="16" customFormat="false" ht="15" hidden="false" customHeight="false" outlineLevel="0" collapsed="false">
      <c r="A16" s="3" t="s">
        <v>20</v>
      </c>
      <c r="B16" s="2" t="s">
        <v>21</v>
      </c>
    </row>
    <row r="18" customFormat="false" ht="15" hidden="false" customHeight="false" outlineLevel="0" collapsed="false">
      <c r="A18" s="3" t="s">
        <v>22</v>
      </c>
    </row>
    <row r="19" customFormat="false" ht="15" hidden="false" customHeight="false" outlineLevel="0" collapsed="false">
      <c r="A19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7" t="s">
        <v>24</v>
      </c>
      <c r="B1" s="8" t="s">
        <v>25</v>
      </c>
      <c r="C1" s="8" t="s">
        <v>26</v>
      </c>
      <c r="D1" s="8" t="s">
        <v>27</v>
      </c>
      <c r="E1" s="8" t="s">
        <v>28</v>
      </c>
    </row>
    <row r="2" customFormat="false" ht="15" hidden="false" customHeight="false" outlineLevel="0" collapsed="false">
      <c r="A2" s="2" t="s">
        <v>29</v>
      </c>
      <c r="B2" s="9" t="n">
        <v>100</v>
      </c>
      <c r="C2" s="9" t="n">
        <v>60</v>
      </c>
      <c r="D2" s="9" t="n">
        <v>200</v>
      </c>
      <c r="E2" s="10" t="s">
        <v>30</v>
      </c>
    </row>
    <row r="3" customFormat="false" ht="15" hidden="false" customHeight="false" outlineLevel="0" collapsed="false">
      <c r="A3" s="2" t="s">
        <v>31</v>
      </c>
      <c r="B3" s="9" t="n">
        <v>5</v>
      </c>
      <c r="C3" s="9" t="n">
        <v>3</v>
      </c>
      <c r="D3" s="9" t="n">
        <v>8</v>
      </c>
      <c r="E3" s="10" t="s">
        <v>32</v>
      </c>
    </row>
    <row r="4" customFormat="false" ht="15" hidden="false" customHeight="false" outlineLevel="0" collapsed="false">
      <c r="A4" s="2" t="s">
        <v>33</v>
      </c>
      <c r="B4" s="9" t="n">
        <v>4</v>
      </c>
      <c r="C4" s="9" t="n">
        <v>2</v>
      </c>
      <c r="D4" s="9" t="n">
        <v>7</v>
      </c>
      <c r="E4" s="10" t="s">
        <v>34</v>
      </c>
    </row>
    <row r="5" customFormat="false" ht="15" hidden="false" customHeight="false" outlineLevel="0" collapsed="false">
      <c r="A5" s="2" t="s">
        <v>35</v>
      </c>
      <c r="B5" s="11" t="n">
        <v>0.3</v>
      </c>
      <c r="C5" s="9" t="n">
        <v>0.1</v>
      </c>
      <c r="D5" s="9" t="n">
        <v>0.6</v>
      </c>
      <c r="E5" s="10" t="s">
        <v>36</v>
      </c>
    </row>
    <row r="6" customFormat="false" ht="15" hidden="false" customHeight="false" outlineLevel="0" collapsed="false">
      <c r="A6" s="2" t="s">
        <v>37</v>
      </c>
      <c r="B6" s="11" t="n">
        <v>1</v>
      </c>
      <c r="C6" s="9" t="n">
        <v>0.4</v>
      </c>
      <c r="D6" s="9" t="n">
        <v>2.5</v>
      </c>
      <c r="E6" s="10" t="s">
        <v>38</v>
      </c>
    </row>
    <row r="7" customFormat="false" ht="15" hidden="false" customHeight="false" outlineLevel="0" collapsed="false">
      <c r="A7" s="2" t="s">
        <v>39</v>
      </c>
      <c r="B7" s="9" t="n">
        <v>8</v>
      </c>
      <c r="C7" s="12" t="s">
        <v>40</v>
      </c>
      <c r="D7" s="12" t="s">
        <v>40</v>
      </c>
      <c r="E7" s="10" t="s">
        <v>41</v>
      </c>
    </row>
    <row r="8" customFormat="false" ht="15" hidden="false" customHeight="false" outlineLevel="0" collapsed="false">
      <c r="A8" s="2" t="s">
        <v>42</v>
      </c>
      <c r="B8" s="9" t="n">
        <v>3</v>
      </c>
      <c r="C8" s="12" t="s">
        <v>40</v>
      </c>
      <c r="D8" s="12" t="s">
        <v>40</v>
      </c>
      <c r="E8" s="10" t="s">
        <v>43</v>
      </c>
    </row>
    <row r="9" customFormat="false" ht="15" hidden="false" customHeight="false" outlineLevel="0" collapsed="false">
      <c r="A9" s="2" t="s">
        <v>44</v>
      </c>
      <c r="B9" s="9" t="n">
        <v>30</v>
      </c>
      <c r="C9" s="12" t="s">
        <v>40</v>
      </c>
      <c r="D9" s="12" t="s">
        <v>40</v>
      </c>
      <c r="E9" s="10" t="s">
        <v>45</v>
      </c>
    </row>
    <row r="10" customFormat="false" ht="15" hidden="false" customHeight="false" outlineLevel="0" collapsed="false">
      <c r="A10" s="2" t="s">
        <v>46</v>
      </c>
      <c r="B10" s="11" t="n">
        <v>0.45</v>
      </c>
      <c r="C10" s="9" t="n">
        <v>0.2</v>
      </c>
      <c r="D10" s="9" t="n">
        <v>0.8</v>
      </c>
      <c r="E10" s="10" t="s">
        <v>47</v>
      </c>
    </row>
    <row r="11" customFormat="false" ht="15" hidden="false" customHeight="false" outlineLevel="0" collapsed="false">
      <c r="A11" s="2" t="s">
        <v>48</v>
      </c>
      <c r="B11" s="11" t="n">
        <v>4</v>
      </c>
      <c r="C11" s="9" t="n">
        <v>2</v>
      </c>
      <c r="D11" s="9" t="n">
        <v>8</v>
      </c>
      <c r="E11" s="10" t="s">
        <v>49</v>
      </c>
    </row>
    <row r="12" customFormat="false" ht="15" hidden="false" customHeight="false" outlineLevel="0" collapsed="false">
      <c r="A12" s="2" t="s">
        <v>50</v>
      </c>
      <c r="B12" s="11" t="n">
        <v>10</v>
      </c>
      <c r="C12" s="9" t="n">
        <v>3</v>
      </c>
      <c r="D12" s="9" t="n">
        <v>25</v>
      </c>
      <c r="E12" s="10" t="s">
        <v>51</v>
      </c>
    </row>
    <row r="13" customFormat="false" ht="15" hidden="false" customHeight="false" outlineLevel="0" collapsed="false">
      <c r="A13" s="2" t="s">
        <v>52</v>
      </c>
      <c r="B13" s="11" t="n">
        <v>4</v>
      </c>
      <c r="C13" s="9" t="n">
        <v>2</v>
      </c>
      <c r="D13" s="9" t="n">
        <v>8</v>
      </c>
      <c r="E13" s="10" t="s">
        <v>53</v>
      </c>
    </row>
    <row r="14" customFormat="false" ht="15" hidden="false" customHeight="false" outlineLevel="0" collapsed="false">
      <c r="A14" s="2" t="s">
        <v>54</v>
      </c>
      <c r="B14" s="11" t="n">
        <v>6</v>
      </c>
      <c r="C14" s="12" t="s">
        <v>40</v>
      </c>
      <c r="D14" s="12" t="s">
        <v>40</v>
      </c>
      <c r="E14" s="10" t="s">
        <v>55</v>
      </c>
    </row>
    <row r="15" customFormat="false" ht="15" hidden="false" customHeight="false" outlineLevel="0" collapsed="false">
      <c r="A15" s="3" t="s">
        <v>56</v>
      </c>
      <c r="B15" s="12" t="n">
        <f aca="false">B14*B12</f>
        <v>60</v>
      </c>
      <c r="E15" s="10" t="s">
        <v>57</v>
      </c>
    </row>
    <row r="16" customFormat="false" ht="15" hidden="false" customHeight="false" outlineLevel="0" collapsed="false">
      <c r="A16" s="2" t="s">
        <v>58</v>
      </c>
      <c r="B16" s="9" t="n">
        <v>3</v>
      </c>
      <c r="C16" s="9" t="n">
        <v>1.5</v>
      </c>
      <c r="D16" s="9" t="n">
        <v>6</v>
      </c>
      <c r="E16" s="10" t="s">
        <v>59</v>
      </c>
    </row>
    <row r="17" customFormat="false" ht="15" hidden="false" customHeight="false" outlineLevel="0" collapsed="false">
      <c r="A17" s="2" t="s">
        <v>60</v>
      </c>
      <c r="B17" s="11" t="n">
        <v>90</v>
      </c>
      <c r="C17" s="9" t="n">
        <v>30</v>
      </c>
      <c r="D17" s="9" t="n">
        <v>180</v>
      </c>
      <c r="E17" s="1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7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70</v>
      </c>
    </row>
    <row r="2" customFormat="false" ht="15" hidden="false" customHeight="false" outlineLevel="0" collapsed="false">
      <c r="A2" s="2" t="s">
        <v>71</v>
      </c>
      <c r="B2" s="9" t="n">
        <v>5</v>
      </c>
      <c r="C2" s="9" t="n">
        <v>0.8</v>
      </c>
      <c r="D2" s="9" t="n">
        <v>1</v>
      </c>
      <c r="E2" s="9" t="n">
        <v>8</v>
      </c>
      <c r="F2" s="11" t="n">
        <v>1</v>
      </c>
      <c r="G2" s="12" t="n">
        <f aca="false">B2*D2/C2</f>
        <v>6.25</v>
      </c>
      <c r="H2" s="12" t="s">
        <v>72</v>
      </c>
      <c r="I2" s="10" t="s">
        <v>73</v>
      </c>
    </row>
    <row r="3" customFormat="false" ht="26.85" hidden="false" customHeight="false" outlineLevel="0" collapsed="false">
      <c r="A3" s="2" t="s">
        <v>74</v>
      </c>
      <c r="B3" s="9" t="n">
        <v>7</v>
      </c>
      <c r="C3" s="9" t="n">
        <v>1.2</v>
      </c>
      <c r="D3" s="9" t="n">
        <v>2</v>
      </c>
      <c r="E3" s="9" t="n">
        <v>3</v>
      </c>
      <c r="F3" s="11" t="n">
        <v>1</v>
      </c>
      <c r="G3" s="12" t="n">
        <f aca="false">B3*D3/C3</f>
        <v>11.6666666666667</v>
      </c>
      <c r="H3" s="12" t="s">
        <v>75</v>
      </c>
      <c r="I3" s="10" t="s">
        <v>76</v>
      </c>
    </row>
    <row r="4" customFormat="false" ht="26.85" hidden="false" customHeight="false" outlineLevel="0" collapsed="false">
      <c r="A4" s="2" t="s">
        <v>77</v>
      </c>
      <c r="B4" s="9" t="n">
        <v>6</v>
      </c>
      <c r="C4" s="9" t="n">
        <v>1.5</v>
      </c>
      <c r="D4" s="9" t="n">
        <v>1</v>
      </c>
      <c r="E4" s="9" t="n">
        <v>7</v>
      </c>
      <c r="F4" s="11" t="n">
        <v>1</v>
      </c>
      <c r="G4" s="12" t="n">
        <f aca="false">B4*D4/C4</f>
        <v>4</v>
      </c>
      <c r="H4" s="12" t="s">
        <v>78</v>
      </c>
      <c r="I4" s="10" t="s">
        <v>79</v>
      </c>
    </row>
    <row r="5" customFormat="false" ht="15" hidden="false" customHeight="false" outlineLevel="0" collapsed="false">
      <c r="A5" s="2" t="s">
        <v>80</v>
      </c>
      <c r="B5" s="9" t="n">
        <v>4</v>
      </c>
      <c r="C5" s="9" t="n">
        <v>1</v>
      </c>
      <c r="D5" s="9" t="n">
        <v>5</v>
      </c>
      <c r="E5" s="9" t="n">
        <v>5</v>
      </c>
      <c r="F5" s="11" t="n">
        <v>1</v>
      </c>
      <c r="G5" s="12" t="n">
        <f aca="false">B5*D5/C5</f>
        <v>20</v>
      </c>
      <c r="H5" s="12" t="s">
        <v>81</v>
      </c>
      <c r="I5" s="10" t="s">
        <v>82</v>
      </c>
    </row>
    <row r="7" customFormat="false" ht="15" hidden="false" customHeight="false" outlineLevel="0" collapsed="false">
      <c r="A7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7" t="s">
        <v>84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70</v>
      </c>
    </row>
    <row r="2" customFormat="false" ht="26.85" hidden="false" customHeight="false" outlineLevel="0" collapsed="false">
      <c r="A2" s="2" t="s">
        <v>91</v>
      </c>
      <c r="B2" s="12" t="s">
        <v>92</v>
      </c>
      <c r="C2" s="11" t="n">
        <v>12</v>
      </c>
      <c r="D2" s="9" t="n">
        <v>5</v>
      </c>
      <c r="E2" s="9" t="n">
        <v>3</v>
      </c>
      <c r="F2" s="9" t="n">
        <v>1</v>
      </c>
      <c r="G2" s="9" t="n">
        <v>60</v>
      </c>
      <c r="H2" s="10" t="s">
        <v>93</v>
      </c>
    </row>
    <row r="3" customFormat="false" ht="15" hidden="false" customHeight="false" outlineLevel="0" collapsed="false">
      <c r="A3" s="2" t="s">
        <v>94</v>
      </c>
      <c r="B3" s="12" t="s">
        <v>92</v>
      </c>
      <c r="C3" s="11" t="n">
        <v>6</v>
      </c>
      <c r="D3" s="9" t="n">
        <v>4</v>
      </c>
      <c r="E3" s="9" t="n">
        <v>6.5</v>
      </c>
      <c r="F3" s="9" t="n">
        <v>1</v>
      </c>
      <c r="G3" s="9" t="n">
        <v>25</v>
      </c>
      <c r="H3" s="10" t="s">
        <v>95</v>
      </c>
    </row>
    <row r="4" customFormat="false" ht="15" hidden="false" customHeight="false" outlineLevel="0" collapsed="false">
      <c r="A4" s="2" t="s">
        <v>96</v>
      </c>
      <c r="B4" s="12" t="s">
        <v>92</v>
      </c>
      <c r="C4" s="11" t="n">
        <v>10</v>
      </c>
      <c r="D4" s="9" t="n">
        <v>6</v>
      </c>
      <c r="E4" s="9" t="n">
        <v>2.5</v>
      </c>
      <c r="F4" s="9" t="n">
        <v>2</v>
      </c>
      <c r="G4" s="9" t="n">
        <v>15</v>
      </c>
      <c r="H4" s="10" t="s">
        <v>97</v>
      </c>
    </row>
    <row r="5" customFormat="false" ht="15" hidden="false" customHeight="false" outlineLevel="0" collapsed="false">
      <c r="A5" s="2" t="s">
        <v>98</v>
      </c>
      <c r="B5" s="12" t="s">
        <v>99</v>
      </c>
      <c r="C5" s="11" t="n">
        <v>120</v>
      </c>
      <c r="D5" s="9" t="n">
        <v>18</v>
      </c>
      <c r="E5" s="9" t="n">
        <v>2.2</v>
      </c>
      <c r="F5" s="9" t="n">
        <v>8</v>
      </c>
      <c r="G5" s="9" t="n">
        <v>0</v>
      </c>
      <c r="H5" s="10" t="s">
        <v>100</v>
      </c>
    </row>
    <row r="6" customFormat="false" ht="15" hidden="false" customHeight="false" outlineLevel="0" collapsed="false">
      <c r="A6" s="2" t="s">
        <v>101</v>
      </c>
      <c r="B6" s="12" t="s">
        <v>99</v>
      </c>
      <c r="C6" s="11" t="n">
        <v>90</v>
      </c>
      <c r="D6" s="9" t="n">
        <v>16</v>
      </c>
      <c r="E6" s="9" t="n">
        <v>3</v>
      </c>
      <c r="F6" s="9" t="n">
        <v>8</v>
      </c>
      <c r="G6" s="9" t="n">
        <v>0</v>
      </c>
      <c r="H6" s="10" t="s">
        <v>102</v>
      </c>
    </row>
    <row r="7" customFormat="false" ht="15" hidden="false" customHeight="false" outlineLevel="0" collapsed="false">
      <c r="A7" s="2" t="s">
        <v>103</v>
      </c>
      <c r="B7" s="12" t="s">
        <v>99</v>
      </c>
      <c r="C7" s="11" t="n">
        <v>150</v>
      </c>
      <c r="D7" s="9" t="n">
        <v>12</v>
      </c>
      <c r="E7" s="9" t="n">
        <v>2</v>
      </c>
      <c r="F7" s="9" t="n">
        <v>10</v>
      </c>
      <c r="G7" s="9" t="n">
        <v>0</v>
      </c>
      <c r="H7" s="10" t="s">
        <v>104</v>
      </c>
    </row>
    <row r="8" customFormat="false" ht="26.85" hidden="false" customHeight="false" outlineLevel="0" collapsed="false">
      <c r="A8" s="2" t="s">
        <v>105</v>
      </c>
      <c r="B8" s="12" t="s">
        <v>106</v>
      </c>
      <c r="C8" s="11" t="n">
        <v>4000</v>
      </c>
      <c r="D8" s="9" t="n">
        <v>0</v>
      </c>
      <c r="E8" s="9" t="n">
        <v>1.8</v>
      </c>
      <c r="F8" s="9" t="n">
        <v>50</v>
      </c>
      <c r="G8" s="9" t="n">
        <v>0</v>
      </c>
      <c r="H8" s="10" t="s">
        <v>107</v>
      </c>
    </row>
    <row r="10" customFormat="false" ht="15" hidden="false" customHeight="false" outlineLevel="0" collapsed="false">
      <c r="A10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2" t="s">
        <v>111</v>
      </c>
      <c r="B4" s="9" t="n">
        <v>1</v>
      </c>
    </row>
    <row r="5" customFormat="false" ht="15" hidden="false" customHeight="false" outlineLevel="0" collapsed="false">
      <c r="A5" s="2" t="s">
        <v>112</v>
      </c>
      <c r="B5" s="11" t="n">
        <v>20</v>
      </c>
    </row>
    <row r="6" customFormat="false" ht="15" hidden="false" customHeight="false" outlineLevel="0" collapsed="false">
      <c r="A6" s="2" t="s">
        <v>113</v>
      </c>
      <c r="B6" s="11" t="n">
        <v>1.18</v>
      </c>
    </row>
    <row r="7" customFormat="false" ht="15" hidden="false" customHeight="false" outlineLevel="0" collapsed="false">
      <c r="A7" s="2" t="s">
        <v>114</v>
      </c>
      <c r="B7" s="9" t="n">
        <v>0</v>
      </c>
    </row>
    <row r="8" customFormat="false" ht="15" hidden="false" customHeight="false" outlineLevel="0" collapsed="false">
      <c r="A8" s="2" t="s">
        <v>115</v>
      </c>
      <c r="B8" s="11" t="n">
        <v>0.5</v>
      </c>
    </row>
    <row r="9" customFormat="false" ht="15" hidden="false" customHeight="false" outlineLevel="0" collapsed="false">
      <c r="A9" s="2" t="s">
        <v>116</v>
      </c>
      <c r="B9" s="11" t="n">
        <v>0.12</v>
      </c>
    </row>
    <row r="10" customFormat="false" ht="15" hidden="false" customHeight="false" outlineLevel="0" collapsed="false">
      <c r="A10" s="2" t="s">
        <v>117</v>
      </c>
      <c r="B10" s="11" t="n">
        <v>4</v>
      </c>
    </row>
    <row r="11" customFormat="false" ht="15" hidden="false" customHeight="false" outlineLevel="0" collapsed="false">
      <c r="A11" s="2" t="s">
        <v>118</v>
      </c>
      <c r="B11" s="11" t="n">
        <v>0.35</v>
      </c>
    </row>
    <row r="13" customFormat="false" ht="15" hidden="false" customHeight="false" outlineLevel="0" collapsed="false">
      <c r="A13" s="7" t="s">
        <v>119</v>
      </c>
      <c r="B13" s="8" t="s">
        <v>120</v>
      </c>
      <c r="C13" s="8" t="s">
        <v>121</v>
      </c>
      <c r="D13" s="8" t="s">
        <v>122</v>
      </c>
      <c r="E13" s="8" t="s">
        <v>123</v>
      </c>
      <c r="F13" s="8" t="s">
        <v>124</v>
      </c>
      <c r="G13" s="8" t="s">
        <v>125</v>
      </c>
    </row>
    <row r="14" customFormat="false" ht="15" hidden="false" customHeight="false" outlineLevel="0" collapsed="false">
      <c r="A14" s="12" t="n">
        <v>1</v>
      </c>
      <c r="B14" s="12" t="n">
        <f aca="false">ROUND($B$5*$B$6^(A14-1)*(1+$B$11*($B$4-1)),0)</f>
        <v>20</v>
      </c>
      <c r="C14" s="12" t="n">
        <f aca="false">FLOOR($B$7+$B$8*(A14-1),1)</f>
        <v>0</v>
      </c>
      <c r="D14" s="12" t="n">
        <f aca="false">1+$B$9*(A14-1)</f>
        <v>1</v>
      </c>
      <c r="E14" s="13" t="n">
        <f aca="false">Enemies!$C$2*D14</f>
        <v>12</v>
      </c>
      <c r="F14" s="13" t="n">
        <f aca="false">Enemies!$C$5*D14</f>
        <v>120</v>
      </c>
      <c r="G14" s="12" t="str">
        <f aca="false">IF(MOD(A14,$B$10)=0,"BOSS","")</f>
        <v/>
      </c>
    </row>
    <row r="15" customFormat="false" ht="15" hidden="false" customHeight="false" outlineLevel="0" collapsed="false">
      <c r="A15" s="12" t="n">
        <v>2</v>
      </c>
      <c r="B15" s="12" t="n">
        <f aca="false">ROUND($B$5*$B$6^(A15-1)*(1+$B$11*($B$4-1)),0)</f>
        <v>24</v>
      </c>
      <c r="C15" s="12" t="n">
        <f aca="false">FLOOR($B$7+$B$8*(A15-1),1)</f>
        <v>0</v>
      </c>
      <c r="D15" s="12" t="n">
        <f aca="false">1+$B$9*(A15-1)</f>
        <v>1.12</v>
      </c>
      <c r="E15" s="13" t="n">
        <f aca="false">Enemies!$C$2*D15</f>
        <v>13.44</v>
      </c>
      <c r="F15" s="13" t="n">
        <f aca="false">Enemies!$C$5*D15</f>
        <v>134.4</v>
      </c>
      <c r="G15" s="12" t="str">
        <f aca="false">IF(MOD(A15,$B$10)=0,"BOSS","")</f>
        <v/>
      </c>
    </row>
    <row r="16" customFormat="false" ht="15" hidden="false" customHeight="false" outlineLevel="0" collapsed="false">
      <c r="A16" s="12" t="n">
        <v>3</v>
      </c>
      <c r="B16" s="12" t="n">
        <f aca="false">ROUND($B$5*$B$6^(A16-1)*(1+$B$11*($B$4-1)),0)</f>
        <v>28</v>
      </c>
      <c r="C16" s="12" t="n">
        <f aca="false">FLOOR($B$7+$B$8*(A16-1),1)</f>
        <v>1</v>
      </c>
      <c r="D16" s="12" t="n">
        <f aca="false">1+$B$9*(A16-1)</f>
        <v>1.24</v>
      </c>
      <c r="E16" s="13" t="n">
        <f aca="false">Enemies!$C$2*D16</f>
        <v>14.88</v>
      </c>
      <c r="F16" s="13" t="n">
        <f aca="false">Enemies!$C$5*D16</f>
        <v>148.8</v>
      </c>
      <c r="G16" s="12" t="str">
        <f aca="false">IF(MOD(A16,$B$10)=0,"BOSS","")</f>
        <v/>
      </c>
    </row>
    <row r="17" customFormat="false" ht="15" hidden="false" customHeight="false" outlineLevel="0" collapsed="false">
      <c r="A17" s="12" t="n">
        <v>4</v>
      </c>
      <c r="B17" s="12" t="n">
        <f aca="false">ROUND($B$5*$B$6^(A17-1)*(1+$B$11*($B$4-1)),0)</f>
        <v>33</v>
      </c>
      <c r="C17" s="12" t="n">
        <f aca="false">FLOOR($B$7+$B$8*(A17-1),1)</f>
        <v>1</v>
      </c>
      <c r="D17" s="12" t="n">
        <f aca="false">1+$B$9*(A17-1)</f>
        <v>1.36</v>
      </c>
      <c r="E17" s="13" t="n">
        <f aca="false">Enemies!$C$2*D17</f>
        <v>16.32</v>
      </c>
      <c r="F17" s="13" t="n">
        <f aca="false">Enemies!$C$5*D17</f>
        <v>163.2</v>
      </c>
      <c r="G17" s="12" t="str">
        <f aca="false">IF(MOD(A17,$B$10)=0,"BOSS","")</f>
        <v>BOSS</v>
      </c>
    </row>
    <row r="18" customFormat="false" ht="15" hidden="false" customHeight="false" outlineLevel="0" collapsed="false">
      <c r="A18" s="12" t="n">
        <v>5</v>
      </c>
      <c r="B18" s="12" t="n">
        <f aca="false">ROUND($B$5*$B$6^(A18-1)*(1+$B$11*($B$4-1)),0)</f>
        <v>39</v>
      </c>
      <c r="C18" s="12" t="n">
        <f aca="false">FLOOR($B$7+$B$8*(A18-1),1)</f>
        <v>2</v>
      </c>
      <c r="D18" s="12" t="n">
        <f aca="false">1+$B$9*(A18-1)</f>
        <v>1.48</v>
      </c>
      <c r="E18" s="13" t="n">
        <f aca="false">Enemies!$C$2*D18</f>
        <v>17.76</v>
      </c>
      <c r="F18" s="13" t="n">
        <f aca="false">Enemies!$C$5*D18</f>
        <v>177.6</v>
      </c>
      <c r="G18" s="12" t="str">
        <f aca="false">IF(MOD(A18,$B$10)=0,"BOSS","")</f>
        <v/>
      </c>
    </row>
    <row r="19" customFormat="false" ht="15" hidden="false" customHeight="false" outlineLevel="0" collapsed="false">
      <c r="A19" s="12" t="n">
        <v>6</v>
      </c>
      <c r="B19" s="12" t="n">
        <f aca="false">ROUND($B$5*$B$6^(A19-1)*(1+$B$11*($B$4-1)),0)</f>
        <v>46</v>
      </c>
      <c r="C19" s="12" t="n">
        <f aca="false">FLOOR($B$7+$B$8*(A19-1),1)</f>
        <v>2</v>
      </c>
      <c r="D19" s="12" t="n">
        <f aca="false">1+$B$9*(A19-1)</f>
        <v>1.6</v>
      </c>
      <c r="E19" s="13" t="n">
        <f aca="false">Enemies!$C$2*D19</f>
        <v>19.2</v>
      </c>
      <c r="F19" s="13" t="n">
        <f aca="false">Enemies!$C$5*D19</f>
        <v>192</v>
      </c>
      <c r="G19" s="12" t="str">
        <f aca="false">IF(MOD(A19,$B$10)=0,"BOSS","")</f>
        <v/>
      </c>
    </row>
    <row r="20" customFormat="false" ht="15" hidden="false" customHeight="false" outlineLevel="0" collapsed="false">
      <c r="A20" s="12" t="n">
        <v>7</v>
      </c>
      <c r="B20" s="12" t="n">
        <f aca="false">ROUND($B$5*$B$6^(A20-1)*(1+$B$11*($B$4-1)),0)</f>
        <v>54</v>
      </c>
      <c r="C20" s="12" t="n">
        <f aca="false">FLOOR($B$7+$B$8*(A20-1),1)</f>
        <v>3</v>
      </c>
      <c r="D20" s="12" t="n">
        <f aca="false">1+$B$9*(A20-1)</f>
        <v>1.72</v>
      </c>
      <c r="E20" s="13" t="n">
        <f aca="false">Enemies!$C$2*D20</f>
        <v>20.64</v>
      </c>
      <c r="F20" s="13" t="n">
        <f aca="false">Enemies!$C$5*D20</f>
        <v>206.4</v>
      </c>
      <c r="G20" s="12" t="str">
        <f aca="false">IF(MOD(A20,$B$10)=0,"BOSS","")</f>
        <v/>
      </c>
    </row>
    <row r="21" customFormat="false" ht="15" hidden="false" customHeight="false" outlineLevel="0" collapsed="false">
      <c r="A21" s="12" t="n">
        <v>8</v>
      </c>
      <c r="B21" s="12" t="n">
        <f aca="false">ROUND($B$5*$B$6^(A21-1)*(1+$B$11*($B$4-1)),0)</f>
        <v>64</v>
      </c>
      <c r="C21" s="12" t="n">
        <f aca="false">FLOOR($B$7+$B$8*(A21-1),1)</f>
        <v>3</v>
      </c>
      <c r="D21" s="12" t="n">
        <f aca="false">1+$B$9*(A21-1)</f>
        <v>1.84</v>
      </c>
      <c r="E21" s="13" t="n">
        <f aca="false">Enemies!$C$2*D21</f>
        <v>22.08</v>
      </c>
      <c r="F21" s="13" t="n">
        <f aca="false">Enemies!$C$5*D21</f>
        <v>220.8</v>
      </c>
      <c r="G21" s="12" t="str">
        <f aca="false">IF(MOD(A21,$B$10)=0,"BOSS","")</f>
        <v>BOSS</v>
      </c>
    </row>
    <row r="22" customFormat="false" ht="15" hidden="false" customHeight="false" outlineLevel="0" collapsed="false">
      <c r="A22" s="12" t="n">
        <v>9</v>
      </c>
      <c r="B22" s="12" t="n">
        <f aca="false">ROUND($B$5*$B$6^(A22-1)*(1+$B$11*($B$4-1)),0)</f>
        <v>75</v>
      </c>
      <c r="C22" s="12" t="n">
        <f aca="false">FLOOR($B$7+$B$8*(A22-1),1)</f>
        <v>4</v>
      </c>
      <c r="D22" s="12" t="n">
        <f aca="false">1+$B$9*(A22-1)</f>
        <v>1.96</v>
      </c>
      <c r="E22" s="13" t="n">
        <f aca="false">Enemies!$C$2*D22</f>
        <v>23.52</v>
      </c>
      <c r="F22" s="13" t="n">
        <f aca="false">Enemies!$C$5*D22</f>
        <v>235.2</v>
      </c>
      <c r="G22" s="12" t="str">
        <f aca="false">IF(MOD(A22,$B$10)=0,"BOSS","")</f>
        <v/>
      </c>
    </row>
    <row r="23" customFormat="false" ht="15" hidden="false" customHeight="false" outlineLevel="0" collapsed="false">
      <c r="A23" s="12" t="n">
        <v>10</v>
      </c>
      <c r="B23" s="12" t="n">
        <f aca="false">ROUND($B$5*$B$6^(A23-1)*(1+$B$11*($B$4-1)),0)</f>
        <v>89</v>
      </c>
      <c r="C23" s="12" t="n">
        <f aca="false">FLOOR($B$7+$B$8*(A23-1),1)</f>
        <v>4</v>
      </c>
      <c r="D23" s="12" t="n">
        <f aca="false">1+$B$9*(A23-1)</f>
        <v>2.08</v>
      </c>
      <c r="E23" s="13" t="n">
        <f aca="false">Enemies!$C$2*D23</f>
        <v>24.96</v>
      </c>
      <c r="F23" s="13" t="n">
        <f aca="false">Enemies!$C$5*D23</f>
        <v>249.6</v>
      </c>
      <c r="G23" s="12" t="str">
        <f aca="false">IF(MOD(A23,$B$10)=0,"BOSS","")</f>
        <v/>
      </c>
    </row>
    <row r="24" customFormat="false" ht="15" hidden="false" customHeight="false" outlineLevel="0" collapsed="false">
      <c r="A24" s="12" t="n">
        <v>11</v>
      </c>
      <c r="B24" s="12" t="n">
        <f aca="false">ROUND($B$5*$B$6^(A24-1)*(1+$B$11*($B$4-1)),0)</f>
        <v>105</v>
      </c>
      <c r="C24" s="12" t="n">
        <f aca="false">FLOOR($B$7+$B$8*(A24-1),1)</f>
        <v>5</v>
      </c>
      <c r="D24" s="12" t="n">
        <f aca="false">1+$B$9*(A24-1)</f>
        <v>2.2</v>
      </c>
      <c r="E24" s="13" t="n">
        <f aca="false">Enemies!$C$2*D24</f>
        <v>26.4</v>
      </c>
      <c r="F24" s="13" t="n">
        <f aca="false">Enemies!$C$5*D24</f>
        <v>264</v>
      </c>
      <c r="G24" s="12" t="str">
        <f aca="false">IF(MOD(A24,$B$10)=0,"BOSS","")</f>
        <v/>
      </c>
    </row>
    <row r="25" customFormat="false" ht="15" hidden="false" customHeight="false" outlineLevel="0" collapsed="false">
      <c r="A25" s="12" t="n">
        <v>12</v>
      </c>
      <c r="B25" s="12" t="n">
        <f aca="false">ROUND($B$5*$B$6^(A25-1)*(1+$B$11*($B$4-1)),0)</f>
        <v>124</v>
      </c>
      <c r="C25" s="12" t="n">
        <f aca="false">FLOOR($B$7+$B$8*(A25-1),1)</f>
        <v>5</v>
      </c>
      <c r="D25" s="12" t="n">
        <f aca="false">1+$B$9*(A25-1)</f>
        <v>2.32</v>
      </c>
      <c r="E25" s="13" t="n">
        <f aca="false">Enemies!$C$2*D25</f>
        <v>27.84</v>
      </c>
      <c r="F25" s="13" t="n">
        <f aca="false">Enemies!$C$5*D25</f>
        <v>278.4</v>
      </c>
      <c r="G25" s="12" t="str">
        <f aca="false">IF(MOD(A25,$B$10)=0,"BOSS","")</f>
        <v>BOSS</v>
      </c>
    </row>
    <row r="26" customFormat="false" ht="15" hidden="false" customHeight="false" outlineLevel="0" collapsed="false">
      <c r="A26" s="12" t="n">
        <v>13</v>
      </c>
      <c r="B26" s="12" t="n">
        <f aca="false">ROUND($B$5*$B$6^(A26-1)*(1+$B$11*($B$4-1)),0)</f>
        <v>146</v>
      </c>
      <c r="C26" s="12" t="n">
        <f aca="false">FLOOR($B$7+$B$8*(A26-1),1)</f>
        <v>6</v>
      </c>
      <c r="D26" s="12" t="n">
        <f aca="false">1+$B$9*(A26-1)</f>
        <v>2.44</v>
      </c>
      <c r="E26" s="13" t="n">
        <f aca="false">Enemies!$C$2*D26</f>
        <v>29.28</v>
      </c>
      <c r="F26" s="13" t="n">
        <f aca="false">Enemies!$C$5*D26</f>
        <v>292.8</v>
      </c>
      <c r="G26" s="12" t="str">
        <f aca="false">IF(MOD(A26,$B$10)=0,"BOSS","")</f>
        <v/>
      </c>
    </row>
    <row r="27" customFormat="false" ht="15" hidden="false" customHeight="false" outlineLevel="0" collapsed="false">
      <c r="A27" s="12" t="n">
        <v>14</v>
      </c>
      <c r="B27" s="12" t="n">
        <f aca="false">ROUND($B$5*$B$6^(A27-1)*(1+$B$11*($B$4-1)),0)</f>
        <v>172</v>
      </c>
      <c r="C27" s="12" t="n">
        <f aca="false">FLOOR($B$7+$B$8*(A27-1),1)</f>
        <v>6</v>
      </c>
      <c r="D27" s="12" t="n">
        <f aca="false">1+$B$9*(A27-1)</f>
        <v>2.56</v>
      </c>
      <c r="E27" s="13" t="n">
        <f aca="false">Enemies!$C$2*D27</f>
        <v>30.72</v>
      </c>
      <c r="F27" s="13" t="n">
        <f aca="false">Enemies!$C$5*D27</f>
        <v>307.2</v>
      </c>
      <c r="G27" s="12" t="str">
        <f aca="false">IF(MOD(A27,$B$10)=0,"BOSS","")</f>
        <v/>
      </c>
    </row>
    <row r="28" customFormat="false" ht="15" hidden="false" customHeight="false" outlineLevel="0" collapsed="false">
      <c r="A28" s="12" t="n">
        <v>15</v>
      </c>
      <c r="B28" s="12" t="n">
        <f aca="false">ROUND($B$5*$B$6^(A28-1)*(1+$B$11*($B$4-1)),0)</f>
        <v>203</v>
      </c>
      <c r="C28" s="12" t="n">
        <f aca="false">FLOOR($B$7+$B$8*(A28-1),1)</f>
        <v>7</v>
      </c>
      <c r="D28" s="12" t="n">
        <f aca="false">1+$B$9*(A28-1)</f>
        <v>2.68</v>
      </c>
      <c r="E28" s="13" t="n">
        <f aca="false">Enemies!$C$2*D28</f>
        <v>32.16</v>
      </c>
      <c r="F28" s="13" t="n">
        <f aca="false">Enemies!$C$5*D28</f>
        <v>321.6</v>
      </c>
      <c r="G28" s="12" t="str">
        <f aca="false">IF(MOD(A28,$B$10)=0,"BOSS","")</f>
        <v/>
      </c>
    </row>
    <row r="29" customFormat="false" ht="15" hidden="false" customHeight="false" outlineLevel="0" collapsed="false">
      <c r="A29" s="12" t="n">
        <v>16</v>
      </c>
      <c r="B29" s="12" t="n">
        <f aca="false">ROUND($B$5*$B$6^(A29-1)*(1+$B$11*($B$4-1)),0)</f>
        <v>239</v>
      </c>
      <c r="C29" s="12" t="n">
        <f aca="false">FLOOR($B$7+$B$8*(A29-1),1)</f>
        <v>7</v>
      </c>
      <c r="D29" s="12" t="n">
        <f aca="false">1+$B$9*(A29-1)</f>
        <v>2.8</v>
      </c>
      <c r="E29" s="13" t="n">
        <f aca="false">Enemies!$C$2*D29</f>
        <v>33.6</v>
      </c>
      <c r="F29" s="13" t="n">
        <f aca="false">Enemies!$C$5*D29</f>
        <v>336</v>
      </c>
      <c r="G29" s="12" t="str">
        <f aca="false">IF(MOD(A29,$B$10)=0,"BOSS","")</f>
        <v>BOSS</v>
      </c>
    </row>
    <row r="30" customFormat="false" ht="15" hidden="false" customHeight="false" outlineLevel="0" collapsed="false">
      <c r="A30" s="12" t="n">
        <v>17</v>
      </c>
      <c r="B30" s="12" t="n">
        <f aca="false">ROUND($B$5*$B$6^(A30-1)*(1+$B$11*($B$4-1)),0)</f>
        <v>283</v>
      </c>
      <c r="C30" s="12" t="n">
        <f aca="false">FLOOR($B$7+$B$8*(A30-1),1)</f>
        <v>8</v>
      </c>
      <c r="D30" s="12" t="n">
        <f aca="false">1+$B$9*(A30-1)</f>
        <v>2.92</v>
      </c>
      <c r="E30" s="13" t="n">
        <f aca="false">Enemies!$C$2*D30</f>
        <v>35.04</v>
      </c>
      <c r="F30" s="13" t="n">
        <f aca="false">Enemies!$C$5*D30</f>
        <v>350.4</v>
      </c>
      <c r="G30" s="12" t="str">
        <f aca="false">IF(MOD(A30,$B$10)=0,"BOSS","")</f>
        <v/>
      </c>
    </row>
    <row r="31" customFormat="false" ht="15" hidden="false" customHeight="false" outlineLevel="0" collapsed="false">
      <c r="A31" s="12" t="n">
        <v>18</v>
      </c>
      <c r="B31" s="12" t="n">
        <f aca="false">ROUND($B$5*$B$6^(A31-1)*(1+$B$11*($B$4-1)),0)</f>
        <v>333</v>
      </c>
      <c r="C31" s="12" t="n">
        <f aca="false">FLOOR($B$7+$B$8*(A31-1),1)</f>
        <v>8</v>
      </c>
      <c r="D31" s="12" t="n">
        <f aca="false">1+$B$9*(A31-1)</f>
        <v>3.04</v>
      </c>
      <c r="E31" s="13" t="n">
        <f aca="false">Enemies!$C$2*D31</f>
        <v>36.48</v>
      </c>
      <c r="F31" s="13" t="n">
        <f aca="false">Enemies!$C$5*D31</f>
        <v>364.8</v>
      </c>
      <c r="G31" s="12" t="str">
        <f aca="false">IF(MOD(A31,$B$10)=0,"BOSS","")</f>
        <v/>
      </c>
    </row>
    <row r="32" customFormat="false" ht="15" hidden="false" customHeight="false" outlineLevel="0" collapsed="false">
      <c r="A32" s="12" t="n">
        <v>19</v>
      </c>
      <c r="B32" s="12" t="n">
        <f aca="false">ROUND($B$5*$B$6^(A32-1)*(1+$B$11*($B$4-1)),0)</f>
        <v>393</v>
      </c>
      <c r="C32" s="12" t="n">
        <f aca="false">FLOOR($B$7+$B$8*(A32-1),1)</f>
        <v>9</v>
      </c>
      <c r="D32" s="12" t="n">
        <f aca="false">1+$B$9*(A32-1)</f>
        <v>3.16</v>
      </c>
      <c r="E32" s="13" t="n">
        <f aca="false">Enemies!$C$2*D32</f>
        <v>37.92</v>
      </c>
      <c r="F32" s="13" t="n">
        <f aca="false">Enemies!$C$5*D32</f>
        <v>379.2</v>
      </c>
      <c r="G32" s="12" t="str">
        <f aca="false">IF(MOD(A32,$B$10)=0,"BOSS","")</f>
        <v/>
      </c>
    </row>
    <row r="33" customFormat="false" ht="15" hidden="false" customHeight="false" outlineLevel="0" collapsed="false">
      <c r="A33" s="12" t="n">
        <v>20</v>
      </c>
      <c r="B33" s="12" t="n">
        <f aca="false">ROUND($B$5*$B$6^(A33-1)*(1+$B$11*($B$4-1)),0)</f>
        <v>464</v>
      </c>
      <c r="C33" s="12" t="n">
        <f aca="false">FLOOR($B$7+$B$8*(A33-1),1)</f>
        <v>9</v>
      </c>
      <c r="D33" s="12" t="n">
        <f aca="false">1+$B$9*(A33-1)</f>
        <v>3.28</v>
      </c>
      <c r="E33" s="13" t="n">
        <f aca="false">Enemies!$C$2*D33</f>
        <v>39.36</v>
      </c>
      <c r="F33" s="13" t="n">
        <f aca="false">Enemies!$C$5*D33</f>
        <v>393.6</v>
      </c>
      <c r="G33" s="12" t="str">
        <f aca="false">IF(MOD(A33,$B$10)=0,"BOSS","")</f>
        <v>BOSS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2" t="s">
        <v>127</v>
      </c>
      <c r="B3" s="11" t="n">
        <v>5</v>
      </c>
    </row>
    <row r="4" customFormat="false" ht="15" hidden="false" customHeight="false" outlineLevel="0" collapsed="false">
      <c r="A4" s="2" t="s">
        <v>128</v>
      </c>
      <c r="B4" s="11" t="n">
        <v>1.25</v>
      </c>
    </row>
    <row r="5" customFormat="false" ht="15" hidden="false" customHeight="false" outlineLevel="0" collapsed="false">
      <c r="A5" s="2" t="s">
        <v>129</v>
      </c>
      <c r="B5" s="9" t="n">
        <v>3</v>
      </c>
    </row>
    <row r="6" customFormat="false" ht="15" hidden="false" customHeight="false" outlineLevel="0" collapsed="false">
      <c r="A6" s="2" t="s">
        <v>130</v>
      </c>
      <c r="B6" s="11" t="n">
        <v>1</v>
      </c>
    </row>
    <row r="7" customFormat="false" ht="15" hidden="false" customHeight="false" outlineLevel="0" collapsed="false">
      <c r="A7" s="2" t="s">
        <v>131</v>
      </c>
      <c r="B7" s="11" t="n">
        <v>10</v>
      </c>
    </row>
    <row r="8" customFormat="false" ht="15" hidden="false" customHeight="false" outlineLevel="0" collapsed="false">
      <c r="A8" s="2" t="s">
        <v>132</v>
      </c>
      <c r="B8" s="11" t="n">
        <v>50</v>
      </c>
    </row>
    <row r="9" customFormat="false" ht="15" hidden="false" customHeight="false" outlineLevel="0" collapsed="false">
      <c r="A9" s="2" t="s">
        <v>133</v>
      </c>
      <c r="B9" s="11" t="n">
        <v>5</v>
      </c>
    </row>
    <row r="10" customFormat="false" ht="15" hidden="false" customHeight="false" outlineLevel="0" collapsed="false">
      <c r="A10" s="2" t="s">
        <v>134</v>
      </c>
      <c r="B10" s="11" t="n">
        <v>100</v>
      </c>
    </row>
    <row r="11" customFormat="false" ht="15" hidden="false" customHeight="false" outlineLevel="0" collapsed="false">
      <c r="A11" s="2" t="s">
        <v>135</v>
      </c>
      <c r="B11" s="11" t="n">
        <v>50</v>
      </c>
    </row>
    <row r="13" customFormat="false" ht="15" hidden="false" customHeight="false" outlineLevel="0" collapsed="false">
      <c r="A13" s="7" t="s">
        <v>136</v>
      </c>
      <c r="B13" s="8" t="s">
        <v>137</v>
      </c>
      <c r="C13" s="8" t="s">
        <v>138</v>
      </c>
    </row>
    <row r="14" customFormat="false" ht="15" hidden="false" customHeight="false" outlineLevel="0" collapsed="false">
      <c r="A14" s="12" t="n">
        <v>1</v>
      </c>
      <c r="B14" s="12" t="n">
        <f aca="false">ROUND($B$3*$B$4^(A14-1),0)</f>
        <v>5</v>
      </c>
      <c r="C14" s="12" t="n">
        <f aca="false">B14</f>
        <v>5</v>
      </c>
    </row>
    <row r="15" customFormat="false" ht="15" hidden="false" customHeight="false" outlineLevel="0" collapsed="false">
      <c r="A15" s="12" t="n">
        <v>2</v>
      </c>
      <c r="B15" s="12" t="n">
        <f aca="false">ROUND($B$3*$B$4^(A15-1),0)</f>
        <v>6</v>
      </c>
      <c r="C15" s="12" t="n">
        <f aca="false">C14+B15</f>
        <v>11</v>
      </c>
    </row>
    <row r="16" customFormat="false" ht="15" hidden="false" customHeight="false" outlineLevel="0" collapsed="false">
      <c r="A16" s="12" t="n">
        <v>3</v>
      </c>
      <c r="B16" s="12" t="n">
        <f aca="false">ROUND($B$3*$B$4^(A16-1),0)</f>
        <v>8</v>
      </c>
      <c r="C16" s="12" t="n">
        <f aca="false">C15+B16</f>
        <v>19</v>
      </c>
    </row>
    <row r="17" customFormat="false" ht="15" hidden="false" customHeight="false" outlineLevel="0" collapsed="false">
      <c r="A17" s="12" t="n">
        <v>4</v>
      </c>
      <c r="B17" s="12" t="n">
        <f aca="false">ROUND($B$3*$B$4^(A17-1),0)</f>
        <v>10</v>
      </c>
      <c r="C17" s="12" t="n">
        <f aca="false">C16+B17</f>
        <v>29</v>
      </c>
    </row>
    <row r="18" customFormat="false" ht="15" hidden="false" customHeight="false" outlineLevel="0" collapsed="false">
      <c r="A18" s="12" t="n">
        <v>5</v>
      </c>
      <c r="B18" s="12" t="n">
        <f aca="false">ROUND($B$3*$B$4^(A18-1),0)</f>
        <v>12</v>
      </c>
      <c r="C18" s="12" t="n">
        <f aca="false">C17+B18</f>
        <v>41</v>
      </c>
    </row>
    <row r="19" customFormat="false" ht="15" hidden="false" customHeight="false" outlineLevel="0" collapsed="false">
      <c r="A19" s="12" t="n">
        <v>6</v>
      </c>
      <c r="B19" s="12" t="n">
        <f aca="false">ROUND($B$3*$B$4^(A19-1),0)</f>
        <v>15</v>
      </c>
      <c r="C19" s="12" t="n">
        <f aca="false">C18+B19</f>
        <v>56</v>
      </c>
    </row>
    <row r="20" customFormat="false" ht="15" hidden="false" customHeight="false" outlineLevel="0" collapsed="false">
      <c r="A20" s="12" t="n">
        <v>7</v>
      </c>
      <c r="B20" s="12" t="n">
        <f aca="false">ROUND($B$3*$B$4^(A20-1),0)</f>
        <v>19</v>
      </c>
      <c r="C20" s="12" t="n">
        <f aca="false">C19+B20</f>
        <v>75</v>
      </c>
    </row>
    <row r="21" customFormat="false" ht="15" hidden="false" customHeight="false" outlineLevel="0" collapsed="false">
      <c r="A21" s="12" t="n">
        <v>8</v>
      </c>
      <c r="B21" s="12" t="n">
        <f aca="false">ROUND($B$3*$B$4^(A21-1),0)</f>
        <v>24</v>
      </c>
      <c r="C21" s="12" t="n">
        <f aca="false">C20+B21</f>
        <v>99</v>
      </c>
    </row>
    <row r="22" customFormat="false" ht="15" hidden="false" customHeight="false" outlineLevel="0" collapsed="false">
      <c r="A22" s="12" t="n">
        <v>9</v>
      </c>
      <c r="B22" s="12" t="n">
        <f aca="false">ROUND($B$3*$B$4^(A22-1),0)</f>
        <v>30</v>
      </c>
      <c r="C22" s="12" t="n">
        <f aca="false">C21+B22</f>
        <v>129</v>
      </c>
    </row>
    <row r="23" customFormat="false" ht="15" hidden="false" customHeight="false" outlineLevel="0" collapsed="false">
      <c r="A23" s="12" t="n">
        <v>10</v>
      </c>
      <c r="B23" s="12" t="n">
        <f aca="false">ROUND($B$3*$B$4^(A23-1),0)</f>
        <v>37</v>
      </c>
      <c r="C23" s="12" t="n">
        <f aca="false">C22+B23</f>
        <v>166</v>
      </c>
    </row>
    <row r="24" customFormat="false" ht="15" hidden="false" customHeight="false" outlineLevel="0" collapsed="false">
      <c r="A24" s="12" t="n">
        <v>11</v>
      </c>
      <c r="B24" s="12" t="n">
        <f aca="false">ROUND($B$3*$B$4^(A24-1),0)</f>
        <v>47</v>
      </c>
      <c r="C24" s="12" t="n">
        <f aca="false">C23+B24</f>
        <v>213</v>
      </c>
    </row>
    <row r="25" customFormat="false" ht="15" hidden="false" customHeight="false" outlineLevel="0" collapsed="false">
      <c r="A25" s="12" t="n">
        <v>12</v>
      </c>
      <c r="B25" s="12" t="n">
        <f aca="false">ROUND($B$3*$B$4^(A25-1),0)</f>
        <v>58</v>
      </c>
      <c r="C25" s="12" t="n">
        <f aca="false">C24+B25</f>
        <v>271</v>
      </c>
    </row>
    <row r="26" customFormat="false" ht="15" hidden="false" customHeight="false" outlineLevel="0" collapsed="false">
      <c r="A26" s="12" t="n">
        <v>13</v>
      </c>
      <c r="B26" s="12" t="n">
        <f aca="false">ROUND($B$3*$B$4^(A26-1),0)</f>
        <v>73</v>
      </c>
      <c r="C26" s="12" t="n">
        <f aca="false">C25+B26</f>
        <v>344</v>
      </c>
    </row>
    <row r="27" customFormat="false" ht="15" hidden="false" customHeight="false" outlineLevel="0" collapsed="false">
      <c r="A27" s="12" t="n">
        <v>14</v>
      </c>
      <c r="B27" s="12" t="n">
        <f aca="false">ROUND($B$3*$B$4^(A27-1),0)</f>
        <v>91</v>
      </c>
      <c r="C27" s="12" t="n">
        <f aca="false">C26+B27</f>
        <v>435</v>
      </c>
    </row>
    <row r="28" customFormat="false" ht="15" hidden="false" customHeight="false" outlineLevel="0" collapsed="false">
      <c r="A28" s="12" t="n">
        <v>15</v>
      </c>
      <c r="B28" s="12" t="n">
        <f aca="false">ROUND($B$3*$B$4^(A28-1),0)</f>
        <v>114</v>
      </c>
      <c r="C28" s="12" t="n">
        <f aca="false">C27+B28</f>
        <v>549</v>
      </c>
    </row>
    <row r="29" customFormat="false" ht="15" hidden="false" customHeight="false" outlineLevel="0" collapsed="false">
      <c r="A29" s="12" t="n">
        <v>16</v>
      </c>
      <c r="B29" s="12" t="n">
        <f aca="false">ROUND($B$3*$B$4^(A29-1),0)</f>
        <v>142</v>
      </c>
      <c r="C29" s="12" t="n">
        <f aca="false">C28+B29</f>
        <v>691</v>
      </c>
    </row>
    <row r="30" customFormat="false" ht="15" hidden="false" customHeight="false" outlineLevel="0" collapsed="false">
      <c r="A30" s="12" t="n">
        <v>17</v>
      </c>
      <c r="B30" s="12" t="n">
        <f aca="false">ROUND($B$3*$B$4^(A30-1),0)</f>
        <v>178</v>
      </c>
      <c r="C30" s="12" t="n">
        <f aca="false">C29+B30</f>
        <v>869</v>
      </c>
    </row>
    <row r="31" customFormat="false" ht="15" hidden="false" customHeight="false" outlineLevel="0" collapsed="false">
      <c r="A31" s="12" t="n">
        <v>18</v>
      </c>
      <c r="B31" s="12" t="n">
        <f aca="false">ROUND($B$3*$B$4^(A31-1),0)</f>
        <v>222</v>
      </c>
      <c r="C31" s="12" t="n">
        <f aca="false">C30+B31</f>
        <v>1091</v>
      </c>
    </row>
    <row r="32" customFormat="false" ht="15" hidden="false" customHeight="false" outlineLevel="0" collapsed="false">
      <c r="A32" s="12" t="n">
        <v>19</v>
      </c>
      <c r="B32" s="12" t="n">
        <f aca="false">ROUND($B$3*$B$4^(A32-1),0)</f>
        <v>278</v>
      </c>
      <c r="C32" s="12" t="n">
        <f aca="false">C31+B32</f>
        <v>1369</v>
      </c>
    </row>
    <row r="33" customFormat="false" ht="15" hidden="false" customHeight="false" outlineLevel="0" collapsed="false">
      <c r="A33" s="12" t="n">
        <v>20</v>
      </c>
      <c r="B33" s="12" t="n">
        <f aca="false">ROUND($B$3*$B$4^(A33-1),0)</f>
        <v>347</v>
      </c>
      <c r="C33" s="12" t="n">
        <f aca="false">C32+B33</f>
        <v>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2026-06-22T01:32:43Z</dcterms:created>
  <dc:creator>openpyxl</dc:creator>
  <dc:description/>
  <dc:language>en-US</dc:language>
  <cp:lastModifiedBy/>
  <dcterms:modified xsi:type="dcterms:W3CDTF">2026-06-22T01:32:43Z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